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0" i="1" l="1"/>
</calcChain>
</file>

<file path=xl/sharedStrings.xml><?xml version="1.0" encoding="utf-8"?>
<sst xmlns="http://schemas.openxmlformats.org/spreadsheetml/2006/main" count="327" uniqueCount="97">
  <si>
    <t>Jkumar Inflow Heating &amp; Cooling</t>
  </si>
  <si>
    <t>Transaction Detail by Account</t>
  </si>
  <si>
    <t>June 2026</t>
  </si>
  <si>
    <t>Horizon Logistics Checking</t>
  </si>
  <si>
    <t>06/01/2026</t>
  </si>
  <si>
    <t>Expense</t>
  </si>
  <si>
    <t/>
  </si>
  <si>
    <t>SHELL STATION</t>
  </si>
  <si>
    <t>FUEL DEPOSIT - SHELL STATION</t>
  </si>
  <si>
    <t>FUEL</t>
  </si>
  <si>
    <t>Deposit</t>
  </si>
  <si>
    <t>Opening Balance Equity</t>
  </si>
  <si>
    <t>06/03/2026</t>
  </si>
  <si>
    <t>ADOBE SYSTEMS</t>
  </si>
  <si>
    <t>ADOBE SYSTEMS INC. (SAAS SUBSCRIPTION)</t>
  </si>
  <si>
    <t>SOFTWARE AND APPS</t>
  </si>
  <si>
    <t>06/04/2026</t>
  </si>
  <si>
    <t>PILOT GAS STATION</t>
  </si>
  <si>
    <t>PILOT TRAVEL CENTER FUEL</t>
  </si>
  <si>
    <t>06/05/2026</t>
  </si>
  <si>
    <t>OFFICE DEPOT</t>
  </si>
  <si>
    <t>OFFICE DEPOT - CHAIRS &amp; DESK</t>
  </si>
  <si>
    <t>OFFICE SUPPLIES</t>
  </si>
  <si>
    <t>06/08/2026</t>
  </si>
  <si>
    <t>CLIENT INVOICE #1041 - RECEIVED PAYMENT</t>
  </si>
  <si>
    <t>SERVICES REVENUE</t>
  </si>
  <si>
    <t>06/10/2026</t>
  </si>
  <si>
    <t>WROONG VENDOR ENTRY ERROR</t>
  </si>
  <si>
    <t>Uncategorized Expense</t>
  </si>
  <si>
    <t>06/12/2026</t>
  </si>
  <si>
    <t>AMAZON</t>
  </si>
  <si>
    <t>AMAZON WEB SERVICES AWS CLOUD</t>
  </si>
  <si>
    <t>06/15/2026</t>
  </si>
  <si>
    <t>REFUND FROM OFFICE DEPOT (RETURNED CHAIR)</t>
  </si>
  <si>
    <t>REFUND</t>
  </si>
  <si>
    <t>06/16/2026</t>
  </si>
  <si>
    <t>TRACTOR SUPPLY CO. REPAAIR</t>
  </si>
  <si>
    <t>TRACTOR SUPPLY CO. REPAIRS</t>
  </si>
  <si>
    <t>MAINTENANCE</t>
  </si>
  <si>
    <t>06/18/2026</t>
  </si>
  <si>
    <t>SHELL OIL 04322</t>
  </si>
  <si>
    <t>06/20/2026</t>
  </si>
  <si>
    <t>INVOICE #1042 - FREIGHT DELIVERY SERVICES</t>
  </si>
  <si>
    <t>06/21/2026</t>
  </si>
  <si>
    <t>GEICO INSURANCE</t>
  </si>
  <si>
    <t>GEICO COMMERCIAL AUTO INS</t>
  </si>
  <si>
    <t>INSURANCE</t>
  </si>
  <si>
    <t>06/22/2026</t>
  </si>
  <si>
    <t>WM SUPERCENTER</t>
  </si>
  <si>
    <t>WM SUPERCENTER - BREAKROOM COFFEE</t>
  </si>
  <si>
    <t>UTILITIES</t>
  </si>
  <si>
    <t>06/24/2026</t>
  </si>
  <si>
    <t>LOVES TRAVELS</t>
  </si>
  <si>
    <t>LOVES TRAVEL STOP FUEL</t>
  </si>
  <si>
    <t>06/25/2026</t>
  </si>
  <si>
    <t>COMCAST</t>
  </si>
  <si>
    <t>COMCAST BUSINESS INTERNET</t>
  </si>
  <si>
    <t>CLIENT INVOICE #1043 - INBOUND FREIGHT</t>
  </si>
  <si>
    <t>06/26/2026</t>
  </si>
  <si>
    <t>QUICKBOOKS</t>
  </si>
  <si>
    <t>QUICKBOOKS ONLINE SUBSCRIPTION</t>
  </si>
  <si>
    <t>06/27/2026</t>
  </si>
  <si>
    <t>TA TRUCK REPAIR</t>
  </si>
  <si>
    <t>TA TRUCK SERVICE ENGINE REPAIR</t>
  </si>
  <si>
    <t>06/28/2026</t>
  </si>
  <si>
    <t>"CASH WITHDRAWAL AT ATM" - awaiting receipt/clarification from team.</t>
  </si>
  <si>
    <t>06/29/2026</t>
  </si>
  <si>
    <t>06/30/2026</t>
  </si>
  <si>
    <t>INTEREST EARNED SAVINGS</t>
  </si>
  <si>
    <t>INTEREST INCOME</t>
  </si>
  <si>
    <t>FEDEX</t>
  </si>
  <si>
    <t>FEDEX SHIP CENTER PACKAGE</t>
  </si>
  <si>
    <t>SHIPPING</t>
  </si>
  <si>
    <t>INVOICE #1044 - FREIGHT DELIVERY</t>
  </si>
  <si>
    <t>Total for Horizon Logistics Checking</t>
  </si>
  <si>
    <t>Total for REFUND</t>
  </si>
  <si>
    <t>Total for Opening Balance Equity</t>
  </si>
  <si>
    <t>Total for SERVICES REVENUE</t>
  </si>
  <si>
    <t>Total for FUEL</t>
  </si>
  <si>
    <t>Total for MAINTENANCE</t>
  </si>
  <si>
    <t>Total for INSURANCE</t>
  </si>
  <si>
    <t>Total for OFFICE SUPPLIES</t>
  </si>
  <si>
    <t>Total for SHIPPING</t>
  </si>
  <si>
    <t>Total for SOFTWARE AND APPS</t>
  </si>
  <si>
    <t>Total for Uncategorized Expense</t>
  </si>
  <si>
    <t>Total for UTILITIES</t>
  </si>
  <si>
    <t>Total for INTEREST INCOME</t>
  </si>
  <si>
    <t>TOTAL</t>
  </si>
  <si>
    <t>Transaction date</t>
  </si>
  <si>
    <t>Transaction type</t>
  </si>
  <si>
    <t>Num</t>
  </si>
  <si>
    <t>Name</t>
  </si>
  <si>
    <t>Description</t>
  </si>
  <si>
    <t>Split</t>
  </si>
  <si>
    <t>Amount</t>
  </si>
  <si>
    <t>Balance</t>
  </si>
  <si>
    <t>Accrual Basis Wednesday, July 08, 2026 09:12 PM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</si>
</sst>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3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84"/>
  <sheetViews>
    <sheetView tabSelected="1" workbookViewId="0" topLeftCell="A1"/>
  </sheetViews>
  <sheetFormatPr defaultColWidth="11.255" defaultRowHeight="16"/>
  <cols>
    <col min="1" max="1" width="31.625" style="22" customWidth="1"/>
    <col min="2" max="3" width="14.375" style="22" customWidth="1"/>
    <col min="4" max="4" width="7.5" style="22" customWidth="1"/>
    <col min="5" max="5" width="23" style="22" customWidth="1"/>
    <col min="6" max="6" width="59.125" style="22" customWidth="1"/>
    <col min="7" max="7" width="23" style="22" customWidth="1"/>
    <col min="8" max="9" width="16.125" style="22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2:9" ht="16">
      <c r="B5" s="23" t="s">
        <v>88</v>
      </c>
      <c r="C5" s="23" t="s">
        <v>89</v>
      </c>
      <c r="D5" s="23" t="s">
        <v>90</v>
      </c>
      <c r="E5" s="23" t="s">
        <v>91</v>
      </c>
      <c r="F5" s="23" t="s">
        <v>92</v>
      </c>
      <c r="G5" s="23" t="s">
        <v>93</v>
      </c>
      <c r="H5" s="23" t="s">
        <v>94</v>
      </c>
      <c r="I5" s="23" t="s">
        <v>95</v>
      </c>
    </row>
    <row r="6" spans="1:1" ht="16">
      <c r="A6" s="29" t="s">
        <v>3</v>
      </c>
    </row>
    <row r="7" spans="2:9" ht="16">
      <c r="B7" s="21" t="s">
        <v>4</v>
      </c>
      <c r="C7" s="21" t="s">
        <v>5</v>
      </c>
      <c r="D7" s="21" t="s">
        <v>6</v>
      </c>
      <c r="E7" s="21" t="s">
        <v>7</v>
      </c>
      <c r="F7" s="21" t="s">
        <v>8</v>
      </c>
      <c r="G7" s="21" t="s">
        <v>9</v>
      </c>
      <c r="H7" s="24">
        <v>-120.5</v>
      </c>
      <c r="I7" s="24">
        <v>-120.5</v>
      </c>
    </row>
    <row r="8" spans="2:9" ht="16">
      <c r="B8" s="21" t="s">
        <v>4</v>
      </c>
      <c r="C8" s="21" t="s">
        <v>10</v>
      </c>
      <c r="D8" s="21" t="s">
        <v>6</v>
      </c>
      <c r="E8" s="21" t="s">
        <v>6</v>
      </c>
      <c r="F8" s="21" t="s">
        <v>6</v>
      </c>
      <c r="G8" s="21" t="s">
        <v>11</v>
      </c>
      <c r="H8" s="24">
        <v>10000.0</v>
      </c>
      <c r="I8" s="24">
        <v>9879.5</v>
      </c>
    </row>
    <row r="9" spans="2:9" ht="16">
      <c r="B9" s="21" t="s">
        <v>12</v>
      </c>
      <c r="C9" s="21" t="s">
        <v>5</v>
      </c>
      <c r="D9" s="21" t="s">
        <v>6</v>
      </c>
      <c r="E9" s="21" t="s">
        <v>13</v>
      </c>
      <c r="F9" s="21" t="s">
        <v>14</v>
      </c>
      <c r="G9" s="21" t="s">
        <v>15</v>
      </c>
      <c r="H9" s="24">
        <v>-35.0</v>
      </c>
      <c r="I9" s="24">
        <v>9844.5</v>
      </c>
    </row>
    <row r="10" spans="2:9" ht="16">
      <c r="B10" s="21" t="s">
        <v>16</v>
      </c>
      <c r="C10" s="21" t="s">
        <v>5</v>
      </c>
      <c r="D10" s="21" t="s">
        <v>6</v>
      </c>
      <c r="E10" s="21" t="s">
        <v>17</v>
      </c>
      <c r="F10" s="21" t="s">
        <v>18</v>
      </c>
      <c r="G10" s="21" t="s">
        <v>9</v>
      </c>
      <c r="H10" s="24">
        <v>-240.75</v>
      </c>
      <c r="I10" s="24">
        <v>9603.75</v>
      </c>
    </row>
    <row r="11" spans="2:9" ht="16">
      <c r="B11" s="21" t="s">
        <v>19</v>
      </c>
      <c r="C11" s="21" t="s">
        <v>5</v>
      </c>
      <c r="D11" s="21" t="s">
        <v>6</v>
      </c>
      <c r="E11" s="21" t="s">
        <v>20</v>
      </c>
      <c r="F11" s="21" t="s">
        <v>21</v>
      </c>
      <c r="G11" s="21" t="s">
        <v>22</v>
      </c>
      <c r="H11" s="24">
        <v>-450.0</v>
      </c>
      <c r="I11" s="24">
        <v>9153.75</v>
      </c>
    </row>
    <row r="12" spans="2:9" ht="16">
      <c r="B12" s="21" t="s">
        <v>23</v>
      </c>
      <c r="C12" s="21" t="s">
        <v>10</v>
      </c>
      <c r="D12" s="21" t="s">
        <v>6</v>
      </c>
      <c r="E12" s="21" t="s">
        <v>6</v>
      </c>
      <c r="F12" s="21" t="s">
        <v>24</v>
      </c>
      <c r="G12" s="21" t="s">
        <v>25</v>
      </c>
      <c r="H12" s="24">
        <v>1500.0</v>
      </c>
      <c r="I12" s="24">
        <v>10653.75</v>
      </c>
    </row>
    <row r="13" spans="2:9" ht="16">
      <c r="B13" s="21" t="s">
        <v>26</v>
      </c>
      <c r="C13" s="21" t="s">
        <v>5</v>
      </c>
      <c r="D13" s="21" t="s">
        <v>6</v>
      </c>
      <c r="E13" s="21" t="s">
        <v>6</v>
      </c>
      <c r="F13" s="21" t="s">
        <v>27</v>
      </c>
      <c r="G13" s="21" t="s">
        <v>28</v>
      </c>
      <c r="H13" s="24">
        <v>-110.0</v>
      </c>
      <c r="I13" s="24">
        <v>10543.75</v>
      </c>
    </row>
    <row r="14" spans="2:9" ht="16">
      <c r="B14" s="21" t="s">
        <v>29</v>
      </c>
      <c r="C14" s="21" t="s">
        <v>5</v>
      </c>
      <c r="D14" s="21" t="s">
        <v>6</v>
      </c>
      <c r="E14" s="21" t="s">
        <v>30</v>
      </c>
      <c r="F14" s="21" t="s">
        <v>31</v>
      </c>
      <c r="G14" s="21" t="s">
        <v>15</v>
      </c>
      <c r="H14" s="24">
        <v>-85.2</v>
      </c>
      <c r="I14" s="24">
        <v>10458.55</v>
      </c>
    </row>
    <row r="15" spans="2:9" ht="16">
      <c r="B15" s="21" t="s">
        <v>32</v>
      </c>
      <c r="C15" s="21" t="s">
        <v>10</v>
      </c>
      <c r="D15" s="21" t="s">
        <v>6</v>
      </c>
      <c r="E15" s="21" t="s">
        <v>20</v>
      </c>
      <c r="F15" s="21" t="s">
        <v>33</v>
      </c>
      <c r="G15" s="21" t="s">
        <v>34</v>
      </c>
      <c r="H15" s="24">
        <v>150.0</v>
      </c>
      <c r="I15" s="24">
        <v>10608.55</v>
      </c>
    </row>
    <row r="16" spans="2:9" ht="16">
      <c r="B16" s="21" t="s">
        <v>35</v>
      </c>
      <c r="C16" s="21" t="s">
        <v>5</v>
      </c>
      <c r="D16" s="21" t="s">
        <v>6</v>
      </c>
      <c r="E16" s="21" t="s">
        <v>36</v>
      </c>
      <c r="F16" s="21" t="s">
        <v>37</v>
      </c>
      <c r="G16" s="21" t="s">
        <v>38</v>
      </c>
      <c r="H16" s="24">
        <v>-320.0</v>
      </c>
      <c r="I16" s="24">
        <v>10288.55</v>
      </c>
    </row>
    <row r="17" spans="2:9" ht="16">
      <c r="B17" s="21" t="s">
        <v>39</v>
      </c>
      <c r="C17" s="21" t="s">
        <v>5</v>
      </c>
      <c r="D17" s="21" t="s">
        <v>6</v>
      </c>
      <c r="E17" s="21" t="s">
        <v>7</v>
      </c>
      <c r="F17" s="21" t="s">
        <v>40</v>
      </c>
      <c r="G17" s="21" t="s">
        <v>9</v>
      </c>
      <c r="H17" s="24">
        <v>-95.0</v>
      </c>
      <c r="I17" s="24">
        <v>10193.55</v>
      </c>
    </row>
    <row r="18" spans="2:9" ht="16">
      <c r="B18" s="21" t="s">
        <v>41</v>
      </c>
      <c r="C18" s="21" t="s">
        <v>10</v>
      </c>
      <c r="D18" s="21" t="s">
        <v>6</v>
      </c>
      <c r="E18" s="21" t="s">
        <v>6</v>
      </c>
      <c r="F18" s="21" t="s">
        <v>42</v>
      </c>
      <c r="G18" s="21" t="s">
        <v>25</v>
      </c>
      <c r="H18" s="24">
        <v>3400.0</v>
      </c>
      <c r="I18" s="24">
        <v>13593.55</v>
      </c>
    </row>
    <row r="19" spans="2:9" ht="16">
      <c r="B19" s="21" t="s">
        <v>43</v>
      </c>
      <c r="C19" s="21" t="s">
        <v>5</v>
      </c>
      <c r="D19" s="21" t="s">
        <v>6</v>
      </c>
      <c r="E19" s="21" t="s">
        <v>44</v>
      </c>
      <c r="F19" s="21" t="s">
        <v>45</v>
      </c>
      <c r="G19" s="21" t="s">
        <v>46</v>
      </c>
      <c r="H19" s="24">
        <v>-580.0</v>
      </c>
      <c r="I19" s="24">
        <v>13013.55</v>
      </c>
    </row>
    <row r="20" spans="2:9" ht="16">
      <c r="B20" s="21" t="s">
        <v>47</v>
      </c>
      <c r="C20" s="21" t="s">
        <v>5</v>
      </c>
      <c r="D20" s="21" t="s">
        <v>6</v>
      </c>
      <c r="E20" s="21" t="s">
        <v>48</v>
      </c>
      <c r="F20" s="21" t="s">
        <v>49</v>
      </c>
      <c r="G20" s="21" t="s">
        <v>50</v>
      </c>
      <c r="H20" s="24">
        <v>-42.15</v>
      </c>
      <c r="I20" s="24">
        <v>12971.4</v>
      </c>
    </row>
    <row r="21" spans="2:9" ht="16">
      <c r="B21" s="21" t="s">
        <v>51</v>
      </c>
      <c r="C21" s="21" t="s">
        <v>5</v>
      </c>
      <c r="D21" s="21" t="s">
        <v>6</v>
      </c>
      <c r="E21" s="21" t="s">
        <v>52</v>
      </c>
      <c r="F21" s="21" t="s">
        <v>53</v>
      </c>
      <c r="G21" s="21" t="s">
        <v>9</v>
      </c>
      <c r="H21" s="24">
        <v>-185.4</v>
      </c>
      <c r="I21" s="24">
        <v>12786.0</v>
      </c>
    </row>
    <row r="22" spans="2:9" ht="16">
      <c r="B22" s="21" t="s">
        <v>54</v>
      </c>
      <c r="C22" s="21" t="s">
        <v>5</v>
      </c>
      <c r="D22" s="21" t="s">
        <v>6</v>
      </c>
      <c r="E22" s="21" t="s">
        <v>55</v>
      </c>
      <c r="F22" s="21" t="s">
        <v>56</v>
      </c>
      <c r="G22" s="21" t="s">
        <v>50</v>
      </c>
      <c r="H22" s="24">
        <v>-160.0</v>
      </c>
      <c r="I22" s="24">
        <v>12626.0</v>
      </c>
    </row>
    <row r="23" spans="2:9" ht="16">
      <c r="B23" s="21" t="s">
        <v>54</v>
      </c>
      <c r="C23" s="21" t="s">
        <v>10</v>
      </c>
      <c r="D23" s="21" t="s">
        <v>6</v>
      </c>
      <c r="E23" s="21" t="s">
        <v>6</v>
      </c>
      <c r="F23" s="21" t="s">
        <v>57</v>
      </c>
      <c r="G23" s="21" t="s">
        <v>25</v>
      </c>
      <c r="H23" s="24">
        <v>2100.0</v>
      </c>
      <c r="I23" s="24">
        <v>14726.0</v>
      </c>
    </row>
    <row r="24" spans="2:9" ht="16">
      <c r="B24" s="21" t="s">
        <v>58</v>
      </c>
      <c r="C24" s="21" t="s">
        <v>5</v>
      </c>
      <c r="D24" s="21" t="s">
        <v>6</v>
      </c>
      <c r="E24" s="21" t="s">
        <v>59</v>
      </c>
      <c r="F24" s="21" t="s">
        <v>60</v>
      </c>
      <c r="G24" s="21" t="s">
        <v>15</v>
      </c>
      <c r="H24" s="24">
        <v>-75.0</v>
      </c>
      <c r="I24" s="24">
        <v>14651.0</v>
      </c>
    </row>
    <row r="25" spans="2:9" ht="16">
      <c r="B25" s="21" t="s">
        <v>61</v>
      </c>
      <c r="C25" s="21" t="s">
        <v>5</v>
      </c>
      <c r="D25" s="21" t="s">
        <v>6</v>
      </c>
      <c r="E25" s="21" t="s">
        <v>62</v>
      </c>
      <c r="F25" s="21" t="s">
        <v>63</v>
      </c>
      <c r="G25" s="21" t="s">
        <v>38</v>
      </c>
      <c r="H25" s="24">
        <v>-1250.0</v>
      </c>
      <c r="I25" s="24">
        <v>13401.0</v>
      </c>
    </row>
    <row r="26" spans="2:9" ht="16">
      <c r="B26" s="21" t="s">
        <v>64</v>
      </c>
      <c r="C26" s="21" t="s">
        <v>5</v>
      </c>
      <c r="D26" s="21" t="s">
        <v>6</v>
      </c>
      <c r="E26" s="21" t="s">
        <v>6</v>
      </c>
      <c r="F26" s="21" t="s">
        <v>65</v>
      </c>
      <c r="G26" s="21" t="s">
        <v>28</v>
      </c>
      <c r="H26" s="24">
        <v>-200.0</v>
      </c>
      <c r="I26" s="24">
        <v>13201.0</v>
      </c>
    </row>
    <row r="27" spans="2:9" ht="16">
      <c r="B27" s="21" t="s">
        <v>66</v>
      </c>
      <c r="C27" s="21" t="s">
        <v>5</v>
      </c>
      <c r="D27" s="21" t="s">
        <v>6</v>
      </c>
      <c r="E27" s="21" t="s">
        <v>17</v>
      </c>
      <c r="F27" s="21" t="s">
        <v>18</v>
      </c>
      <c r="G27" s="21" t="s">
        <v>9</v>
      </c>
      <c r="H27" s="24">
        <v>-310.2</v>
      </c>
      <c r="I27" s="24">
        <v>12890.8</v>
      </c>
    </row>
    <row r="28" spans="2:9" ht="16">
      <c r="B28" s="21" t="s">
        <v>67</v>
      </c>
      <c r="C28" s="21" t="s">
        <v>10</v>
      </c>
      <c r="D28" s="21" t="s">
        <v>6</v>
      </c>
      <c r="E28" s="21" t="s">
        <v>6</v>
      </c>
      <c r="F28" s="21" t="s">
        <v>68</v>
      </c>
      <c r="G28" s="21" t="s">
        <v>69</v>
      </c>
      <c r="H28" s="24">
        <v>4.55</v>
      </c>
      <c r="I28" s="24">
        <v>12895.349999999999</v>
      </c>
    </row>
    <row r="29" spans="2:9" ht="16">
      <c r="B29" s="21" t="s">
        <v>67</v>
      </c>
      <c r="C29" s="21" t="s">
        <v>5</v>
      </c>
      <c r="D29" s="21" t="s">
        <v>6</v>
      </c>
      <c r="E29" s="21" t="s">
        <v>70</v>
      </c>
      <c r="F29" s="21" t="s">
        <v>71</v>
      </c>
      <c r="G29" s="21" t="s">
        <v>72</v>
      </c>
      <c r="H29" s="24">
        <v>-62.4</v>
      </c>
      <c r="I29" s="24">
        <v>12832.949999999999</v>
      </c>
    </row>
    <row r="30" spans="2:9" ht="16">
      <c r="B30" s="21" t="s">
        <v>67</v>
      </c>
      <c r="C30" s="21" t="s">
        <v>10</v>
      </c>
      <c r="D30" s="21" t="s">
        <v>6</v>
      </c>
      <c r="E30" s="21" t="s">
        <v>6</v>
      </c>
      <c r="F30" s="21" t="s">
        <v>73</v>
      </c>
      <c r="G30" s="21" t="s">
        <v>25</v>
      </c>
      <c r="H30" s="24">
        <v>4200.0</v>
      </c>
      <c r="I30" s="24">
        <v>17032.949999999997</v>
      </c>
    </row>
    <row r="31" spans="1:8" ht="16">
      <c r="A31" s="30" t="s">
        <v>74</v>
      </c>
      <c r="H31" s="25">
        <f>H7+H8+H9+H10+H11+H12+H13+H14+H15+H16+H17+H18+H19+H20+H21+H22+H23+H24+H25+H26+H27+H28+H29+H30</f>
        <v>17032.949999999997</v>
      </c>
    </row>
    <row r="32" spans="1:1" ht="16">
      <c r="A32" s="29" t="s">
        <v>34</v>
      </c>
    </row>
    <row r="33" spans="2:9" ht="16">
      <c r="B33" s="21" t="s">
        <v>32</v>
      </c>
      <c r="C33" s="21" t="s">
        <v>10</v>
      </c>
      <c r="D33" s="21" t="s">
        <v>6</v>
      </c>
      <c r="E33" s="21" t="s">
        <v>20</v>
      </c>
      <c r="F33" s="21" t="s">
        <v>33</v>
      </c>
      <c r="G33" s="21" t="s">
        <v>3</v>
      </c>
      <c r="H33" s="24">
        <v>-150.0</v>
      </c>
      <c r="I33" s="24">
        <v>-150.0</v>
      </c>
    </row>
    <row r="34" spans="1:8" ht="16">
      <c r="A34" s="30" t="s">
        <v>75</v>
      </c>
      <c r="H34" s="25">
        <f>H33</f>
        <v>-150.0</v>
      </c>
    </row>
    <row r="35" spans="1:1" ht="16">
      <c r="A35" s="29" t="s">
        <v>11</v>
      </c>
    </row>
    <row r="36" spans="2:9" ht="16">
      <c r="B36" s="21" t="s">
        <v>4</v>
      </c>
      <c r="C36" s="21" t="s">
        <v>10</v>
      </c>
      <c r="D36" s="21" t="s">
        <v>6</v>
      </c>
      <c r="E36" s="21" t="s">
        <v>6</v>
      </c>
      <c r="F36" s="21" t="s">
        <v>6</v>
      </c>
      <c r="G36" s="21" t="s">
        <v>3</v>
      </c>
      <c r="H36" s="24">
        <v>10000.0</v>
      </c>
      <c r="I36" s="24">
        <v>10000.0</v>
      </c>
    </row>
    <row r="37" spans="1:8" ht="16">
      <c r="A37" s="30" t="s">
        <v>76</v>
      </c>
      <c r="H37" s="25">
        <f>H36</f>
        <v>10000.0</v>
      </c>
    </row>
    <row r="38" spans="1:1" ht="16">
      <c r="A38" s="29" t="s">
        <v>25</v>
      </c>
    </row>
    <row r="39" spans="2:9" ht="16">
      <c r="B39" s="21" t="s">
        <v>23</v>
      </c>
      <c r="C39" s="21" t="s">
        <v>10</v>
      </c>
      <c r="D39" s="21" t="s">
        <v>6</v>
      </c>
      <c r="E39" s="21" t="s">
        <v>6</v>
      </c>
      <c r="F39" s="21" t="s">
        <v>24</v>
      </c>
      <c r="G39" s="21" t="s">
        <v>3</v>
      </c>
      <c r="H39" s="24">
        <v>1500.0</v>
      </c>
      <c r="I39" s="24">
        <v>1500.0</v>
      </c>
    </row>
    <row r="40" spans="2:9" ht="16">
      <c r="B40" s="21" t="s">
        <v>41</v>
      </c>
      <c r="C40" s="21" t="s">
        <v>10</v>
      </c>
      <c r="D40" s="21" t="s">
        <v>6</v>
      </c>
      <c r="E40" s="21" t="s">
        <v>6</v>
      </c>
      <c r="F40" s="21" t="s">
        <v>42</v>
      </c>
      <c r="G40" s="21" t="s">
        <v>3</v>
      </c>
      <c r="H40" s="24">
        <v>3400.0</v>
      </c>
      <c r="I40" s="24">
        <v>4900.0</v>
      </c>
    </row>
    <row r="41" spans="2:9" ht="16">
      <c r="B41" s="21" t="s">
        <v>54</v>
      </c>
      <c r="C41" s="21" t="s">
        <v>10</v>
      </c>
      <c r="D41" s="21" t="s">
        <v>6</v>
      </c>
      <c r="E41" s="21" t="s">
        <v>6</v>
      </c>
      <c r="F41" s="21" t="s">
        <v>57</v>
      </c>
      <c r="G41" s="21" t="s">
        <v>3</v>
      </c>
      <c r="H41" s="24">
        <v>2100.0</v>
      </c>
      <c r="I41" s="24">
        <v>7000.0</v>
      </c>
    </row>
    <row r="42" spans="2:9" ht="16">
      <c r="B42" s="21" t="s">
        <v>67</v>
      </c>
      <c r="C42" s="21" t="s">
        <v>10</v>
      </c>
      <c r="D42" s="21" t="s">
        <v>6</v>
      </c>
      <c r="E42" s="21" t="s">
        <v>6</v>
      </c>
      <c r="F42" s="21" t="s">
        <v>73</v>
      </c>
      <c r="G42" s="21" t="s">
        <v>3</v>
      </c>
      <c r="H42" s="24">
        <v>4200.0</v>
      </c>
      <c r="I42" s="24">
        <v>11200.0</v>
      </c>
    </row>
    <row r="43" spans="1:8" ht="16">
      <c r="A43" s="30" t="s">
        <v>77</v>
      </c>
      <c r="H43" s="25">
        <f>H39+H40+H41+H42</f>
        <v>11200.0</v>
      </c>
    </row>
    <row r="44" spans="1:1" ht="16">
      <c r="A44" s="29" t="s">
        <v>9</v>
      </c>
    </row>
    <row r="45" spans="2:9" ht="16">
      <c r="B45" s="21" t="s">
        <v>4</v>
      </c>
      <c r="C45" s="21" t="s">
        <v>5</v>
      </c>
      <c r="D45" s="21" t="s">
        <v>6</v>
      </c>
      <c r="E45" s="21" t="s">
        <v>7</v>
      </c>
      <c r="F45" s="21" t="s">
        <v>8</v>
      </c>
      <c r="G45" s="21" t="s">
        <v>3</v>
      </c>
      <c r="H45" s="24">
        <v>120.5</v>
      </c>
      <c r="I45" s="24">
        <v>120.5</v>
      </c>
    </row>
    <row r="46" spans="2:9" ht="16">
      <c r="B46" s="21" t="s">
        <v>16</v>
      </c>
      <c r="C46" s="21" t="s">
        <v>5</v>
      </c>
      <c r="D46" s="21" t="s">
        <v>6</v>
      </c>
      <c r="E46" s="21" t="s">
        <v>17</v>
      </c>
      <c r="F46" s="21" t="s">
        <v>18</v>
      </c>
      <c r="G46" s="21" t="s">
        <v>3</v>
      </c>
      <c r="H46" s="24">
        <v>240.75</v>
      </c>
      <c r="I46" s="24">
        <v>361.25</v>
      </c>
    </row>
    <row r="47" spans="2:9" ht="16">
      <c r="B47" s="21" t="s">
        <v>39</v>
      </c>
      <c r="C47" s="21" t="s">
        <v>5</v>
      </c>
      <c r="D47" s="21" t="s">
        <v>6</v>
      </c>
      <c r="E47" s="21" t="s">
        <v>7</v>
      </c>
      <c r="F47" s="21" t="s">
        <v>40</v>
      </c>
      <c r="G47" s="21" t="s">
        <v>3</v>
      </c>
      <c r="H47" s="24">
        <v>95.0</v>
      </c>
      <c r="I47" s="24">
        <v>456.25</v>
      </c>
    </row>
    <row r="48" spans="2:9" ht="16">
      <c r="B48" s="21" t="s">
        <v>51</v>
      </c>
      <c r="C48" s="21" t="s">
        <v>5</v>
      </c>
      <c r="D48" s="21" t="s">
        <v>6</v>
      </c>
      <c r="E48" s="21" t="s">
        <v>52</v>
      </c>
      <c r="F48" s="21" t="s">
        <v>53</v>
      </c>
      <c r="G48" s="21" t="s">
        <v>3</v>
      </c>
      <c r="H48" s="24">
        <v>185.4</v>
      </c>
      <c r="I48" s="24">
        <v>641.65</v>
      </c>
    </row>
    <row r="49" spans="2:9" ht="16">
      <c r="B49" s="21" t="s">
        <v>66</v>
      </c>
      <c r="C49" s="21" t="s">
        <v>5</v>
      </c>
      <c r="D49" s="21" t="s">
        <v>6</v>
      </c>
      <c r="E49" s="21" t="s">
        <v>17</v>
      </c>
      <c r="F49" s="21" t="s">
        <v>18</v>
      </c>
      <c r="G49" s="21" t="s">
        <v>3</v>
      </c>
      <c r="H49" s="24">
        <v>310.2</v>
      </c>
      <c r="I49" s="24">
        <v>951.8499999999999</v>
      </c>
    </row>
    <row r="50" spans="1:8" ht="16">
      <c r="A50" s="30" t="s">
        <v>78</v>
      </c>
      <c r="H50" s="25">
        <f>H45+H46+H47+H48+H49</f>
        <v>951.8499999999999</v>
      </c>
    </row>
    <row r="51" spans="1:1" ht="16">
      <c r="A51" s="29" t="s">
        <v>38</v>
      </c>
    </row>
    <row r="52" spans="2:9" ht="16">
      <c r="B52" s="21" t="s">
        <v>35</v>
      </c>
      <c r="C52" s="21" t="s">
        <v>5</v>
      </c>
      <c r="D52" s="21" t="s">
        <v>6</v>
      </c>
      <c r="E52" s="21" t="s">
        <v>36</v>
      </c>
      <c r="F52" s="21" t="s">
        <v>37</v>
      </c>
      <c r="G52" s="21" t="s">
        <v>3</v>
      </c>
      <c r="H52" s="24">
        <v>320.0</v>
      </c>
      <c r="I52" s="24">
        <v>320.0</v>
      </c>
    </row>
    <row r="53" spans="2:9" ht="16">
      <c r="B53" s="21" t="s">
        <v>61</v>
      </c>
      <c r="C53" s="21" t="s">
        <v>5</v>
      </c>
      <c r="D53" s="21" t="s">
        <v>6</v>
      </c>
      <c r="E53" s="21" t="s">
        <v>62</v>
      </c>
      <c r="F53" s="21" t="s">
        <v>63</v>
      </c>
      <c r="G53" s="21" t="s">
        <v>3</v>
      </c>
      <c r="H53" s="24">
        <v>1250.0</v>
      </c>
      <c r="I53" s="24">
        <v>1570.0</v>
      </c>
    </row>
    <row r="54" spans="1:8" ht="16">
      <c r="A54" s="30" t="s">
        <v>79</v>
      </c>
      <c r="H54" s="25">
        <f>H52+H53</f>
        <v>1570.0</v>
      </c>
    </row>
    <row r="55" spans="1:1" ht="16">
      <c r="A55" s="29" t="s">
        <v>46</v>
      </c>
    </row>
    <row r="56" spans="2:9" ht="16">
      <c r="B56" s="21" t="s">
        <v>43</v>
      </c>
      <c r="C56" s="21" t="s">
        <v>5</v>
      </c>
      <c r="D56" s="21" t="s">
        <v>6</v>
      </c>
      <c r="E56" s="21" t="s">
        <v>44</v>
      </c>
      <c r="F56" s="21" t="s">
        <v>45</v>
      </c>
      <c r="G56" s="21" t="s">
        <v>3</v>
      </c>
      <c r="H56" s="24">
        <v>580.0</v>
      </c>
      <c r="I56" s="24">
        <v>580.0</v>
      </c>
    </row>
    <row r="57" spans="1:8" ht="16">
      <c r="A57" s="30" t="s">
        <v>80</v>
      </c>
      <c r="H57" s="25">
        <f>H56</f>
        <v>580.0</v>
      </c>
    </row>
    <row r="58" spans="1:1" ht="16">
      <c r="A58" s="29" t="s">
        <v>22</v>
      </c>
    </row>
    <row r="59" spans="2:9" ht="16">
      <c r="B59" s="21" t="s">
        <v>19</v>
      </c>
      <c r="C59" s="21" t="s">
        <v>5</v>
      </c>
      <c r="D59" s="21" t="s">
        <v>6</v>
      </c>
      <c r="E59" s="21" t="s">
        <v>20</v>
      </c>
      <c r="F59" s="21" t="s">
        <v>21</v>
      </c>
      <c r="G59" s="21" t="s">
        <v>3</v>
      </c>
      <c r="H59" s="24">
        <v>450.0</v>
      </c>
      <c r="I59" s="24">
        <v>450.0</v>
      </c>
    </row>
    <row r="60" spans="1:8" ht="16">
      <c r="A60" s="30" t="s">
        <v>81</v>
      </c>
      <c r="H60" s="25">
        <f>H59</f>
        <v>450.0</v>
      </c>
    </row>
    <row r="61" spans="1:1" ht="16">
      <c r="A61" s="29" t="s">
        <v>72</v>
      </c>
    </row>
    <row r="62" spans="2:9" ht="16">
      <c r="B62" s="21" t="s">
        <v>67</v>
      </c>
      <c r="C62" s="21" t="s">
        <v>5</v>
      </c>
      <c r="D62" s="21" t="s">
        <v>6</v>
      </c>
      <c r="E62" s="21" t="s">
        <v>70</v>
      </c>
      <c r="F62" s="21" t="s">
        <v>71</v>
      </c>
      <c r="G62" s="21" t="s">
        <v>3</v>
      </c>
      <c r="H62" s="24">
        <v>62.4</v>
      </c>
      <c r="I62" s="24">
        <v>62.4</v>
      </c>
    </row>
    <row r="63" spans="1:8" ht="16">
      <c r="A63" s="30" t="s">
        <v>82</v>
      </c>
      <c r="H63" s="25">
        <f>H62</f>
        <v>62.4</v>
      </c>
    </row>
    <row r="64" spans="1:1" ht="16">
      <c r="A64" s="29" t="s">
        <v>15</v>
      </c>
    </row>
    <row r="65" spans="2:9" ht="16">
      <c r="B65" s="21" t="s">
        <v>12</v>
      </c>
      <c r="C65" s="21" t="s">
        <v>5</v>
      </c>
      <c r="D65" s="21" t="s">
        <v>6</v>
      </c>
      <c r="E65" s="21" t="s">
        <v>13</v>
      </c>
      <c r="F65" s="21" t="s">
        <v>14</v>
      </c>
      <c r="G65" s="21" t="s">
        <v>3</v>
      </c>
      <c r="H65" s="24">
        <v>35.0</v>
      </c>
      <c r="I65" s="24">
        <v>35.0</v>
      </c>
    </row>
    <row r="66" spans="2:9" ht="16">
      <c r="B66" s="21" t="s">
        <v>29</v>
      </c>
      <c r="C66" s="21" t="s">
        <v>5</v>
      </c>
      <c r="D66" s="21" t="s">
        <v>6</v>
      </c>
      <c r="E66" s="21" t="s">
        <v>30</v>
      </c>
      <c r="F66" s="21" t="s">
        <v>31</v>
      </c>
      <c r="G66" s="21" t="s">
        <v>3</v>
      </c>
      <c r="H66" s="24">
        <v>85.2</v>
      </c>
      <c r="I66" s="24">
        <v>120.2</v>
      </c>
    </row>
    <row r="67" spans="2:9" ht="16">
      <c r="B67" s="21" t="s">
        <v>58</v>
      </c>
      <c r="C67" s="21" t="s">
        <v>5</v>
      </c>
      <c r="D67" s="21" t="s">
        <v>6</v>
      </c>
      <c r="E67" s="21" t="s">
        <v>59</v>
      </c>
      <c r="F67" s="21" t="s">
        <v>60</v>
      </c>
      <c r="G67" s="21" t="s">
        <v>3</v>
      </c>
      <c r="H67" s="24">
        <v>75.0</v>
      </c>
      <c r="I67" s="24">
        <v>195.2</v>
      </c>
    </row>
    <row r="68" spans="1:8" ht="16">
      <c r="A68" s="30" t="s">
        <v>83</v>
      </c>
      <c r="H68" s="25">
        <f>H65+H66+H67</f>
        <v>195.2</v>
      </c>
    </row>
    <row r="69" spans="1:1" ht="16">
      <c r="A69" s="29" t="s">
        <v>28</v>
      </c>
    </row>
    <row r="70" spans="2:9" ht="16">
      <c r="B70" s="21" t="s">
        <v>26</v>
      </c>
      <c r="C70" s="21" t="s">
        <v>5</v>
      </c>
      <c r="D70" s="21" t="s">
        <v>6</v>
      </c>
      <c r="E70" s="21" t="s">
        <v>6</v>
      </c>
      <c r="F70" s="21" t="s">
        <v>27</v>
      </c>
      <c r="G70" s="21" t="s">
        <v>3</v>
      </c>
      <c r="H70" s="24">
        <v>110.0</v>
      </c>
      <c r="I70" s="24">
        <v>110.0</v>
      </c>
    </row>
    <row r="71" spans="2:9" ht="16">
      <c r="B71" s="21" t="s">
        <v>64</v>
      </c>
      <c r="C71" s="21" t="s">
        <v>5</v>
      </c>
      <c r="D71" s="21" t="s">
        <v>6</v>
      </c>
      <c r="E71" s="21" t="s">
        <v>6</v>
      </c>
      <c r="F71" s="21" t="s">
        <v>65</v>
      </c>
      <c r="G71" s="21" t="s">
        <v>3</v>
      </c>
      <c r="H71" s="24">
        <v>200.0</v>
      </c>
      <c r="I71" s="24">
        <v>310.0</v>
      </c>
    </row>
    <row r="72" spans="1:8" ht="16">
      <c r="A72" s="30" t="s">
        <v>84</v>
      </c>
      <c r="H72" s="25">
        <f>H70+H71</f>
        <v>310.0</v>
      </c>
    </row>
    <row r="73" spans="1:1" ht="16">
      <c r="A73" s="29" t="s">
        <v>50</v>
      </c>
    </row>
    <row r="74" spans="2:9" ht="16">
      <c r="B74" s="21" t="s">
        <v>47</v>
      </c>
      <c r="C74" s="21" t="s">
        <v>5</v>
      </c>
      <c r="D74" s="21" t="s">
        <v>6</v>
      </c>
      <c r="E74" s="21" t="s">
        <v>48</v>
      </c>
      <c r="F74" s="21" t="s">
        <v>49</v>
      </c>
      <c r="G74" s="21" t="s">
        <v>3</v>
      </c>
      <c r="H74" s="24">
        <v>42.15</v>
      </c>
      <c r="I74" s="24">
        <v>42.15</v>
      </c>
    </row>
    <row r="75" spans="2:9" ht="16">
      <c r="B75" s="21" t="s">
        <v>54</v>
      </c>
      <c r="C75" s="21" t="s">
        <v>5</v>
      </c>
      <c r="D75" s="21" t="s">
        <v>6</v>
      </c>
      <c r="E75" s="21" t="s">
        <v>55</v>
      </c>
      <c r="F75" s="21" t="s">
        <v>56</v>
      </c>
      <c r="G75" s="21" t="s">
        <v>3</v>
      </c>
      <c r="H75" s="24">
        <v>160.0</v>
      </c>
      <c r="I75" s="24">
        <v>202.15</v>
      </c>
    </row>
    <row r="76" spans="1:8" ht="16">
      <c r="A76" s="30" t="s">
        <v>85</v>
      </c>
      <c r="H76" s="25">
        <f>H74+H75</f>
        <v>202.15</v>
      </c>
    </row>
    <row r="77" spans="1:1" ht="16">
      <c r="A77" s="29" t="s">
        <v>69</v>
      </c>
    </row>
    <row r="78" spans="2:9" ht="16">
      <c r="B78" s="21" t="s">
        <v>67</v>
      </c>
      <c r="C78" s="21" t="s">
        <v>10</v>
      </c>
      <c r="D78" s="21" t="s">
        <v>6</v>
      </c>
      <c r="E78" s="21" t="s">
        <v>6</v>
      </c>
      <c r="F78" s="21" t="s">
        <v>68</v>
      </c>
      <c r="G78" s="21" t="s">
        <v>3</v>
      </c>
      <c r="H78" s="24">
        <v>4.55</v>
      </c>
      <c r="I78" s="24">
        <v>4.55</v>
      </c>
    </row>
    <row r="79" spans="1:8" ht="16">
      <c r="A79" s="30" t="s">
        <v>86</v>
      </c>
      <c r="H79" s="25">
        <f>H78</f>
        <v>4.55</v>
      </c>
    </row>
    <row r="80" spans="1:8" ht="16">
      <c r="A80" s="31" t="s">
        <v>87</v>
      </c>
      <c r="H80" s="25">
        <f>H31+H34+H37+H43+H50+H54+H57+H60+H63+H68+H72+H76+H79</f>
        <v>42409.1</v>
      </c>
    </row>
    <row r="84" spans="1:1" ht="16">
      <c r="A84" s="32" t="s">
        <v>96</v>
      </c>
    </row>
  </sheetData>
  <mergeCells count="4">
    <mergeCell ref="A1:H1"/>
    <mergeCell ref="A2:H2"/>
    <mergeCell ref="A3:H3"/>
    <mergeCell ref="A84:H8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